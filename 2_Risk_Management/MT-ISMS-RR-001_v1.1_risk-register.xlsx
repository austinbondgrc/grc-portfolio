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austinbond/Documents/School/InfoSec Certifications/Portfolio/"/>
    </mc:Choice>
  </mc:AlternateContent>
  <xr:revisionPtr revIDLastSave="0" documentId="13_ncr:2001_{5066842E-A642-E142-B183-AAD9E90E61F1}" xr6:coauthVersionLast="47" xr6:coauthVersionMax="47" xr10:uidLastSave="{00000000-0000-0000-0000-000000000000}"/>
  <bookViews>
    <workbookView xWindow="19220" yWindow="600" windowWidth="19180" windowHeight="19980" xr2:uid="{38E67B68-80FF-E74D-999D-D671638F79F3}"/>
  </bookViews>
  <sheets>
    <sheet name="Risk Register" sheetId="1" r:id="rId1"/>
    <sheet name="Reference Data"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0" i="1" l="1"/>
  <c r="O31" i="1"/>
  <c r="O29" i="1"/>
  <c r="O28" i="1"/>
  <c r="O27" i="1"/>
  <c r="O26" i="1"/>
  <c r="O25" i="1"/>
  <c r="O24" i="1"/>
  <c r="O23" i="1"/>
  <c r="O22" i="1"/>
  <c r="O21" i="1"/>
  <c r="O20" i="1"/>
  <c r="O19" i="1"/>
  <c r="O18" i="1"/>
  <c r="O17" i="1"/>
  <c r="H18" i="1"/>
  <c r="H19" i="1"/>
  <c r="H20" i="1"/>
  <c r="H21" i="1"/>
  <c r="H22" i="1"/>
  <c r="H23" i="1"/>
  <c r="H24" i="1"/>
  <c r="H25" i="1"/>
  <c r="H26" i="1"/>
  <c r="H27" i="1"/>
  <c r="H28" i="1"/>
  <c r="H29" i="1"/>
  <c r="H30" i="1"/>
  <c r="H31" i="1"/>
  <c r="H17" i="1"/>
</calcChain>
</file>

<file path=xl/sharedStrings.xml><?xml version="1.0" encoding="utf-8"?>
<sst xmlns="http://schemas.openxmlformats.org/spreadsheetml/2006/main" count="191" uniqueCount="143">
  <si>
    <t>MunichTech GmbH</t>
  </si>
  <si>
    <t>Version</t>
  </si>
  <si>
    <t>Effective Date</t>
  </si>
  <si>
    <t>[Date]</t>
  </si>
  <si>
    <t>Austin Bond, Junior GRC Consultant</t>
  </si>
  <si>
    <t>Classification</t>
  </si>
  <si>
    <r>
      <rPr>
        <b/>
        <sz val="12"/>
        <color theme="1"/>
        <rFont val="Aptos"/>
      </rPr>
      <t>CONFIDENTIAL</t>
    </r>
    <r>
      <rPr>
        <sz val="12"/>
        <color theme="1"/>
        <rFont val="Aptos"/>
      </rPr>
      <t xml:space="preserve"> — Internal Use Only</t>
    </r>
  </si>
  <si>
    <t>Asset ID</t>
  </si>
  <si>
    <t>Asset Owner</t>
  </si>
  <si>
    <t>AST-001</t>
  </si>
  <si>
    <t>VP of Product</t>
  </si>
  <si>
    <t>AST-002</t>
  </si>
  <si>
    <t>AST-003</t>
  </si>
  <si>
    <t>AST-004</t>
  </si>
  <si>
    <t>AST-005</t>
  </si>
  <si>
    <t>AST-006</t>
  </si>
  <si>
    <t>AST-007</t>
  </si>
  <si>
    <t>AST-008</t>
  </si>
  <si>
    <t>Head of Engineering</t>
  </si>
  <si>
    <t>DevOps Team</t>
  </si>
  <si>
    <t>IT Security Lead</t>
  </si>
  <si>
    <t>HR Manager</t>
  </si>
  <si>
    <t>Prepared By</t>
  </si>
  <si>
    <t>Reviewed By</t>
  </si>
  <si>
    <t>Approved By</t>
  </si>
  <si>
    <t>CISO / Head of Engineering</t>
  </si>
  <si>
    <t>Classification &amp; Valuation Matrix</t>
  </si>
  <si>
    <t>AST-009</t>
  </si>
  <si>
    <t>AST-010</t>
  </si>
  <si>
    <t>AST-011</t>
  </si>
  <si>
    <t>AST-012</t>
  </si>
  <si>
    <t>AST-013</t>
  </si>
  <si>
    <t>AST-014</t>
  </si>
  <si>
    <t>AST-015</t>
  </si>
  <si>
    <t>Operations Manager</t>
  </si>
  <si>
    <t>Finance Manager</t>
  </si>
  <si>
    <t>Head of Sales</t>
  </si>
  <si>
    <t>CEO</t>
  </si>
  <si>
    <t>[Senior GRC Partner Name], CISM, ISO 27000 LA</t>
  </si>
  <si>
    <t>Risk ID</t>
  </si>
  <si>
    <t>RR-001</t>
  </si>
  <si>
    <t>RR-002</t>
  </si>
  <si>
    <t>RR-003</t>
  </si>
  <si>
    <t>RR-004</t>
  </si>
  <si>
    <t>RR-005</t>
  </si>
  <si>
    <t>RR-006</t>
  </si>
  <si>
    <t>RR-007</t>
  </si>
  <si>
    <t>RR-008</t>
  </si>
  <si>
    <t>RR-009</t>
  </si>
  <si>
    <t>RR-010</t>
  </si>
  <si>
    <t>RR-011</t>
  </si>
  <si>
    <t>RR-012</t>
  </si>
  <si>
    <t>RR-013</t>
  </si>
  <si>
    <t>RR-014</t>
  </si>
  <si>
    <t>RR-015</t>
  </si>
  <si>
    <t>Threat Scenario &amp; Business Impact</t>
  </si>
  <si>
    <r>
      <rPr>
        <b/>
        <sz val="12"/>
        <color theme="1"/>
        <rFont val="Aptos"/>
      </rPr>
      <t>Cloud Misconfiguration (Data Exposure)</t>
    </r>
    <r>
      <rPr>
        <sz val="12"/>
        <color theme="1"/>
        <rFont val="Aptos"/>
      </rPr>
      <t xml:space="preserve"> Overly permissive AWS IAM roles or publicly accessible S3 buckets expose client financial data. Impact: Direct DSGVO Art. 83 violation, mandatory 72-hour BayLDA notification, and breach of DORA (Reg. (EU) 2022/2554) confidentiality requirements.</t>
    </r>
  </si>
  <si>
    <r>
      <rPr>
        <b/>
        <sz val="12"/>
        <color theme="1"/>
        <rFont val="Aptos"/>
      </rPr>
      <t>Inadequate Data Deletion (DSGVO Art. 17)</t>
    </r>
    <r>
      <rPr>
        <sz val="12"/>
        <color theme="1"/>
        <rFont val="Aptos"/>
      </rPr>
      <t xml:space="preserve"> Failure to purge client financial data after contract termination or failure to execute right to be forgotten requests within RDS backups or S3 data lakes. Impact: BayLDA audit failure and regulatory fines.</t>
    </r>
  </si>
  <si>
    <r>
      <rPr>
        <b/>
        <sz val="12"/>
        <color theme="1"/>
        <rFont val="Aptos"/>
      </rPr>
      <t>Insecure Tenancy Isolation (Data Bleed)</t>
    </r>
    <r>
      <rPr>
        <sz val="12"/>
        <color theme="1"/>
        <rFont val="Aptos"/>
      </rPr>
      <t xml:space="preserve"> Logical separation failure in the PostgreSQL RDS database results in Bank A viewing the financial analytics data of Bank B. Impact: Catastrophic reputational damage, contract termination, and DSGVO breach.</t>
    </r>
  </si>
  <si>
    <r>
      <rPr>
        <b/>
        <sz val="12"/>
        <color theme="1"/>
        <rFont val="Aptos"/>
      </rPr>
      <t>Supply Chain Vulnerability (OSS)</t>
    </r>
    <r>
      <rPr>
        <sz val="12"/>
        <color theme="1"/>
        <rFont val="Aptos"/>
      </rPr>
      <t xml:space="preserve"> Exploitation of unpatched Open Source Software (OSS) dependencies within the SaaS analytics engine, allowing Remote Code Execution (RCE).</t>
    </r>
  </si>
  <si>
    <r>
      <rPr>
        <b/>
        <sz val="12"/>
        <color theme="1"/>
        <rFont val="Aptos"/>
      </rPr>
      <t>Okta AiTM / MFA Fatigue Attack</t>
    </r>
    <r>
      <rPr>
        <sz val="12"/>
        <color theme="1"/>
        <rFont val="Aptos"/>
      </rPr>
      <t xml:space="preserve"> 
Threat actors utilize Adversary-in-the-Middle (AiTM) proxies or prompt bombing to bypass Okta MFA for an internal employee, gaining access to corporate AWS or GitHub environments.</t>
    </r>
  </si>
  <si>
    <r>
      <rPr>
        <b/>
        <sz val="12"/>
        <color theme="1"/>
        <rFont val="Aptos"/>
      </rPr>
      <t>Unauthorized Access to HR Records</t>
    </r>
    <r>
      <rPr>
        <sz val="12"/>
        <color theme="1"/>
        <rFont val="Aptos"/>
      </rPr>
      <t xml:space="preserve"> 
Overly broad permissions in BambooHR allow regular employees to view executive compensation, medical leave documents, or disciplinary records. Impact: Internal friction, DSGVO violation, and Works Council (Betriebsrat) escalation.</t>
    </r>
  </si>
  <si>
    <r>
      <rPr>
        <b/>
        <sz val="12"/>
        <color theme="1"/>
        <rFont val="Aptos"/>
      </rPr>
      <t>Insider Threat / Stale Privileges</t>
    </r>
    <r>
      <rPr>
        <sz val="12"/>
        <color theme="1"/>
        <rFont val="Aptos"/>
      </rPr>
      <t xml:space="preserve"> 
DevOps engineer retains standing privileged access to AWS production post-termination or project completion, leading to unauthorized data extraction or malicious infrastructure deletion.</t>
    </r>
  </si>
  <si>
    <r>
      <rPr>
        <b/>
        <sz val="12"/>
        <color theme="1"/>
        <rFont val="Aptos"/>
      </rPr>
      <t xml:space="preserve">Ransomware Deployment via Endpoint </t>
    </r>
    <r>
      <rPr>
        <sz val="12"/>
        <color theme="1"/>
        <rFont val="Aptos"/>
      </rPr>
      <t xml:space="preserve">
Targeted phishing campaign compromises developer MacBook, leading to lateral movement. Impact: Disruption of SaaS operations, triggering NIS2 Art. 23 24-hour early warning to the BSI.</t>
    </r>
  </si>
  <si>
    <r>
      <rPr>
        <b/>
        <sz val="12"/>
        <color theme="1"/>
        <rFont val="Aptos"/>
      </rPr>
      <t>Physical Security Bypass (Munich HQ)</t>
    </r>
    <r>
      <rPr>
        <sz val="12"/>
        <color theme="1"/>
        <rFont val="Aptos"/>
      </rPr>
      <t xml:space="preserve"> Unauthorized individual tailgates an employee into the Munich office and accesses unlocked terminals or physical network ports in the server room.</t>
    </r>
  </si>
  <si>
    <r>
      <rPr>
        <b/>
        <sz val="12"/>
        <color theme="1"/>
        <rFont val="Aptos"/>
      </rPr>
      <t>CRM Data Exfiltration via Sales Operations</t>
    </r>
    <r>
      <rPr>
        <sz val="12"/>
        <color theme="1"/>
        <rFont val="Aptos"/>
      </rPr>
      <t xml:space="preserve"> Departing sales executive exports the entire Salesforce CRM client pipeline including client contacts and contract values to a personal Google Drive account prior to their last day.</t>
    </r>
  </si>
  <si>
    <r>
      <rPr>
        <b/>
        <sz val="12"/>
        <color theme="1"/>
        <rFont val="Aptos"/>
      </rPr>
      <t>Subprocessor Supply Chain Breach</t>
    </r>
    <r>
      <rPr>
        <sz val="12"/>
        <color theme="1"/>
        <rFont val="Aptos"/>
      </rPr>
      <t xml:space="preserve"> 
Third-party payroll/accounting provider (e.g., DATEV) suffers a ransomware attack, exposing MunichTech corporate financial data and employee salaries.</t>
    </r>
  </si>
  <si>
    <r>
      <rPr>
        <b/>
        <sz val="12"/>
        <color theme="1"/>
        <rFont val="Aptos"/>
      </rPr>
      <t>Cryptographic Key Compromise</t>
    </r>
    <r>
      <rPr>
        <sz val="12"/>
        <color theme="1"/>
        <rFont val="Aptos"/>
      </rPr>
      <t xml:space="preserve"> 
Loss or compromise of AWS KMS Customer Managed Keys (CMKs) rendering AES-256 encrypted RDS clusters and S3 data lakes permanently inaccessible. Impact: Severe SLA breach and data loss.</t>
    </r>
  </si>
  <si>
    <r>
      <rPr>
        <b/>
        <sz val="12"/>
        <color theme="1"/>
        <rFont val="Aptos"/>
      </rPr>
      <t>Key Person Dependency (ISMS Governance)</t>
    </r>
    <r>
      <rPr>
        <sz val="12"/>
        <color theme="1"/>
        <rFont val="Aptos"/>
      </rPr>
      <t xml:space="preserve"> Head of Engineering departs abruptly, leaving the ISMS without operational leadership. Impact: Non-compliance with NIS2 Art. 20 (Executive Accountability) and risk of ISO 27001 certification suspension.</t>
    </r>
  </si>
  <si>
    <r>
      <rPr>
        <b/>
        <sz val="12"/>
        <color theme="1"/>
        <rFont val="Aptos"/>
      </rPr>
      <t>Data Misclassification in Ticketing Systems</t>
    </r>
    <r>
      <rPr>
        <sz val="12"/>
        <color theme="1"/>
        <rFont val="Aptos"/>
      </rPr>
      <t xml:space="preserve"> Developers paste plain-text API keys, AWS secrets, or client PII directly into Jira tickets or Confluence pages where they can be viewed by all internal staff.</t>
    </r>
  </si>
  <si>
    <t>Mitigate</t>
  </si>
  <si>
    <t>Enable Registrar Lock and enforce strict MFA for the domain registrar account. Implement and enforce rigid DMARC (p=reject), SPF, and DKIM records to prevent email spoofing. Monitor domain impersonation via threat intel feeds.</t>
  </si>
  <si>
    <r>
      <rPr>
        <b/>
        <sz val="12"/>
        <color theme="1"/>
        <rFont val="Aptos"/>
      </rPr>
      <t>Domain Hijacking &amp; Brand Spoofing</t>
    </r>
    <r>
      <rPr>
        <sz val="12"/>
        <color theme="1"/>
        <rFont val="Aptos"/>
      </rPr>
      <t xml:space="preserve"> 
Threat actors compromise domain registrar credentials to redirect MunichTech SaaS traffic, or spoof the domain to launch sophisticated phishing campaigns against enterprise banking clients.</t>
    </r>
  </si>
  <si>
    <t>Note: Risk Score Calculation = Asset Value (AV) × Threat Likelihood (L) × Vulnerability Severity (V). Maximum score is 27.</t>
  </si>
  <si>
    <t>Inherent AV</t>
  </si>
  <si>
    <t>Inherent L</t>
  </si>
  <si>
    <t>Inherent V</t>
  </si>
  <si>
    <t>Inherent Score</t>
  </si>
  <si>
    <t>Residual AV</t>
  </si>
  <si>
    <t>Residual L</t>
  </si>
  <si>
    <t>Residual V</t>
  </si>
  <si>
    <t>Residual Score</t>
  </si>
  <si>
    <t>Treatment</t>
  </si>
  <si>
    <t>⁠1</t>
  </si>
  <si>
    <t>ISO 27001:2022 Controls</t>
  </si>
  <si>
    <t>Technical &amp; Operational Mitigation Strategy</t>
  </si>
  <si>
    <t>Owner</t>
  </si>
  <si>
    <t>Accept</t>
  </si>
  <si>
    <t>Implement automated S3 Lifecycle policies to purge data exceeding 24 months. Develop automated SQL scripts to sanitize PII in RDS backups. Maintain a documented Data Retention Schedule aligned with German HGB/AO requirements.</t>
  </si>
  <si>
    <t>Enforce Row-Level Security (RLS) in PostgreSQL tied directly to the tenant ID in the JWT token. Conduct annual third-party external penetration testing focused specifically on tenant isolation and authorization bypass.</t>
  </si>
  <si>
    <t>Integrate Snyk SCA (Software Composition Analysis) and Dependabot into GitHub Enterprise CI/CD pipelines as hard gating criteria. Build fails automatically if critical/high CVEs without known mitigations are detected.</t>
  </si>
  <si>
    <t>Enforce AWS Service Control Policies (SCPs) preventing public S3 access at the Organization level. Deploy AWS GuardDuty for continuous threat detection and enforce least-privilege IAM roles mapped to Okta SSO groups via SAML 2.0.</t>
  </si>
  <si>
    <t>Disable SMS and Voice MFA globally. Enforce Okta Verify with Number Matching or FIDO2 hardware keys (YubiKeys) for all internal staff. Implement Okta behavior analytics to block logins from impossible travel or anonymous proxies.</t>
  </si>
  <si>
    <t>Implement strict Role-Based Access Control (RBAC) within BambooHR restricting visibility strictly to the HR Manager and CEO. Enable detailed access logging and conduct bi-annual reviews of HR platform permissions.</t>
  </si>
  <si>
    <t>Implement Just-In-Time (JIT) access via AWS IAM Identity Center. Okta SCIM provisioning linked to BambooHR for automated access revocation upon termination. Regular access reviews (quarterly) managed via Jira workflows.</t>
  </si>
  <si>
    <t>Deploy CrowdStrike Falcon EDR to all endpoints via Microsoft Intune. Note: Implementation requires prior Betriebsvereinbarung per BetrVG § 87 due to behavior monitoring capabilities. Enforce FIDO2/WebAuthn hardware keys.</t>
  </si>
  <si>
    <t>Accepted by Ops Manager. Building managed by third-party landlord. Enforce MT-POL-007 (Clear Desk Policy) and MDM auto-lock screens (5 mins). Corporate network uses 802.1X NAC to prevent unauthorized hardware from routing.</t>
  </si>
  <si>
    <t>Restrict mass export permissions in Salesforce to the Sales Ops Manager role. Implement Microsoft Purview DLP on endpoints to block file uploads to unapproved cloud storage domains.</t>
  </si>
  <si>
    <t>Enforce mandatory Data Processing Agreements (AVV). Require all Tier 1 suppliers to provide annual SOC 2 Type II or ISO 27001 certificates. Monitor vendor security posture via continuous scanning platforms.</t>
  </si>
  <si>
    <t>Utilize AWS KMS with automated key rotation (annual). Enforce strict separation of duties: Developers cannot access production KMS key material. RDS snapshots replicated to an isolated, immutable vault account.</t>
  </si>
  <si>
    <t>Accepted by CEO. Budget for dedicated CISO deferred to Q1 2027. Mitigation: Retain external Big 4 GRC advisory for fractional support and maintain exhaustive runbooks in Confluence to ensure continuity.</t>
  </si>
  <si>
    <t>Deploy Atlassian Data Loss Prevention (DLP) to scan for Regex patterns matching AWS keys and credit card numbers. Implement GitHub Secret Scanning to prevent commits containing secrets. Update Developer Onboarding training.</t>
  </si>
  <si>
    <r>
      <rPr>
        <b/>
        <sz val="12"/>
        <color theme="1"/>
        <rFont val="Aptos"/>
      </rPr>
      <t>A.8.31</t>
    </r>
    <r>
      <rPr>
        <sz val="12"/>
        <color theme="1"/>
        <rFont val="Aptos"/>
      </rPr>
      <t xml:space="preserve"> 
(Separation of dev, test and prod), 
</t>
    </r>
    <r>
      <rPr>
        <b/>
        <sz val="12"/>
        <color theme="1"/>
        <rFont val="Aptos"/>
      </rPr>
      <t xml:space="preserve">A.8.26
</t>
    </r>
    <r>
      <rPr>
        <sz val="12"/>
        <color theme="1"/>
        <rFont val="Aptos"/>
      </rPr>
      <t xml:space="preserve"> (Application sec reqs)</t>
    </r>
  </si>
  <si>
    <r>
      <rPr>
        <b/>
        <sz val="12"/>
        <color theme="1"/>
        <rFont val="Aptos"/>
      </rPr>
      <t xml:space="preserve">A.8.10 
</t>
    </r>
    <r>
      <rPr>
        <sz val="12"/>
        <color theme="1"/>
        <rFont val="Aptos"/>
      </rPr>
      <t xml:space="preserve">(Information deletion), </t>
    </r>
    <r>
      <rPr>
        <b/>
        <sz val="12"/>
        <color theme="1"/>
        <rFont val="Aptos"/>
      </rPr>
      <t>A.5.33</t>
    </r>
    <r>
      <rPr>
        <sz val="12"/>
        <color theme="1"/>
        <rFont val="Aptos"/>
      </rPr>
      <t xml:space="preserve"> (Protection of records)</t>
    </r>
  </si>
  <si>
    <r>
      <rPr>
        <b/>
        <sz val="12"/>
        <color theme="1"/>
        <rFont val="Aptos"/>
      </rPr>
      <t>A.8.28</t>
    </r>
    <r>
      <rPr>
        <sz val="12"/>
        <color theme="1"/>
        <rFont val="Aptos"/>
      </rPr>
      <t xml:space="preserve"> 
(Secure coding), 
</t>
    </r>
    <r>
      <rPr>
        <b/>
        <sz val="12"/>
        <color theme="1"/>
        <rFont val="Aptos"/>
      </rPr>
      <t xml:space="preserve">A.8.8
 </t>
    </r>
    <r>
      <rPr>
        <sz val="12"/>
        <color theme="1"/>
        <rFont val="Aptos"/>
      </rPr>
      <t xml:space="preserve">(Vulnerability mgmt), 
</t>
    </r>
    <r>
      <rPr>
        <b/>
        <sz val="12"/>
        <color theme="1"/>
        <rFont val="Aptos"/>
      </rPr>
      <t>A.8.25</t>
    </r>
    <r>
      <rPr>
        <sz val="12"/>
        <color theme="1"/>
        <rFont val="Aptos"/>
      </rPr>
      <t xml:space="preserve"> 
(Secure dev lifecycle)</t>
    </r>
  </si>
  <si>
    <r>
      <rPr>
        <b/>
        <sz val="12"/>
        <color theme="1"/>
        <rFont val="Aptos"/>
      </rPr>
      <t>A.8.15</t>
    </r>
    <r>
      <rPr>
        <sz val="12"/>
        <color theme="1"/>
        <rFont val="Aptos"/>
      </rPr>
      <t xml:space="preserve"> 
(Logging), 
</t>
    </r>
    <r>
      <rPr>
        <b/>
        <sz val="12"/>
        <color theme="1"/>
        <rFont val="Aptos"/>
      </rPr>
      <t xml:space="preserve">A.8.22 </t>
    </r>
    <r>
      <rPr>
        <sz val="12"/>
        <color theme="1"/>
        <rFont val="Aptos"/>
      </rPr>
      <t xml:space="preserve">
(Segregation in networks), 
</t>
    </r>
    <r>
      <rPr>
        <b/>
        <sz val="12"/>
        <color theme="1"/>
        <rFont val="Aptos"/>
      </rPr>
      <t xml:space="preserve">A.5.15 
</t>
    </r>
    <r>
      <rPr>
        <sz val="12"/>
        <color theme="1"/>
        <rFont val="Aptos"/>
      </rPr>
      <t>(Access control)</t>
    </r>
  </si>
  <si>
    <r>
      <rPr>
        <b/>
        <sz val="12"/>
        <color theme="1"/>
        <rFont val="Aptos"/>
      </rPr>
      <t xml:space="preserve">A.5.17 </t>
    </r>
    <r>
      <rPr>
        <sz val="12"/>
        <color theme="1"/>
        <rFont val="Aptos"/>
      </rPr>
      <t xml:space="preserve">
(Authentication info), </t>
    </r>
    <r>
      <rPr>
        <b/>
        <sz val="12"/>
        <color theme="1"/>
        <rFont val="Aptos"/>
      </rPr>
      <t xml:space="preserve">A.8.5 </t>
    </r>
    <r>
      <rPr>
        <sz val="12"/>
        <color theme="1"/>
        <rFont val="Aptos"/>
      </rPr>
      <t xml:space="preserve">
(Secure authentication)</t>
    </r>
  </si>
  <si>
    <r>
      <rPr>
        <b/>
        <sz val="12"/>
        <color theme="1"/>
        <rFont val="Aptos"/>
      </rPr>
      <t xml:space="preserve">A.5.15 </t>
    </r>
    <r>
      <rPr>
        <sz val="12"/>
        <color theme="1"/>
        <rFont val="Aptos"/>
      </rPr>
      <t xml:space="preserve">
(Access control),
</t>
    </r>
    <r>
      <rPr>
        <b/>
        <sz val="12"/>
        <color theme="1"/>
        <rFont val="Aptos"/>
      </rPr>
      <t xml:space="preserve"> A.5.18 </t>
    </r>
    <r>
      <rPr>
        <sz val="12"/>
        <color theme="1"/>
        <rFont val="Aptos"/>
      </rPr>
      <t xml:space="preserve">
(Access rights)</t>
    </r>
  </si>
  <si>
    <r>
      <rPr>
        <b/>
        <sz val="12"/>
        <color theme="1"/>
        <rFont val="Aptos"/>
      </rPr>
      <t>A.5.16</t>
    </r>
    <r>
      <rPr>
        <sz val="12"/>
        <color theme="1"/>
        <rFont val="Aptos"/>
      </rPr>
      <t xml:space="preserve">
(Identity management), </t>
    </r>
    <r>
      <rPr>
        <b/>
        <sz val="12"/>
        <color theme="1"/>
        <rFont val="Aptos"/>
      </rPr>
      <t>A.5.18</t>
    </r>
    <r>
      <rPr>
        <sz val="12"/>
        <color theme="1"/>
        <rFont val="Aptos"/>
      </rPr>
      <t xml:space="preserve">
(Access rights),
</t>
    </r>
    <r>
      <rPr>
        <b/>
        <sz val="12"/>
        <color theme="1"/>
        <rFont val="Aptos"/>
      </rPr>
      <t xml:space="preserve"> A.6.2 </t>
    </r>
    <r>
      <rPr>
        <sz val="12"/>
        <color theme="1"/>
        <rFont val="Aptos"/>
      </rPr>
      <t xml:space="preserve">
(Terms of employment)</t>
    </r>
  </si>
  <si>
    <r>
      <rPr>
        <b/>
        <sz val="12"/>
        <color theme="1"/>
        <rFont val="Aptos"/>
      </rPr>
      <t>A.8.7</t>
    </r>
    <r>
      <rPr>
        <sz val="12"/>
        <color theme="1"/>
        <rFont val="Aptos"/>
      </rPr>
      <t xml:space="preserve">
(Protection against malware),
</t>
    </r>
    <r>
      <rPr>
        <b/>
        <sz val="12"/>
        <color theme="1"/>
        <rFont val="Aptos"/>
      </rPr>
      <t xml:space="preserve"> A.8.1 </t>
    </r>
    <r>
      <rPr>
        <sz val="12"/>
        <color theme="1"/>
        <rFont val="Aptos"/>
      </rPr>
      <t xml:space="preserve">
(User endpoint devices)</t>
    </r>
  </si>
  <si>
    <r>
      <rPr>
        <b/>
        <sz val="12"/>
        <color theme="1"/>
        <rFont val="Aptos"/>
      </rPr>
      <t xml:space="preserve">A.7.2 </t>
    </r>
    <r>
      <rPr>
        <sz val="12"/>
        <color theme="1"/>
        <rFont val="Aptos"/>
      </rPr>
      <t xml:space="preserve">
(Physical entry), 
</t>
    </r>
    <r>
      <rPr>
        <b/>
        <sz val="12"/>
        <color theme="1"/>
        <rFont val="Aptos"/>
      </rPr>
      <t xml:space="preserve">A.7.7 </t>
    </r>
    <r>
      <rPr>
        <sz val="12"/>
        <color theme="1"/>
        <rFont val="Aptos"/>
      </rPr>
      <t xml:space="preserve">
(Clear desk/screen)</t>
    </r>
  </si>
  <si>
    <r>
      <rPr>
        <b/>
        <sz val="12"/>
        <color theme="1"/>
        <rFont val="Aptos"/>
      </rPr>
      <t xml:space="preserve">A.8.12 
</t>
    </r>
    <r>
      <rPr>
        <sz val="12"/>
        <color theme="1"/>
        <rFont val="Aptos"/>
      </rPr>
      <t xml:space="preserve">(Data leakage prevention), 
</t>
    </r>
    <r>
      <rPr>
        <b/>
        <sz val="12"/>
        <color theme="1"/>
        <rFont val="Aptos"/>
      </rPr>
      <t xml:space="preserve">A.5.14 </t>
    </r>
    <r>
      <rPr>
        <sz val="12"/>
        <color theme="1"/>
        <rFont val="Aptos"/>
      </rPr>
      <t xml:space="preserve">
(Info transfer)</t>
    </r>
  </si>
  <si>
    <r>
      <rPr>
        <b/>
        <sz val="12"/>
        <color theme="1"/>
        <rFont val="Aptos"/>
      </rPr>
      <t xml:space="preserve">A.5.21 </t>
    </r>
    <r>
      <rPr>
        <sz val="12"/>
        <color theme="1"/>
        <rFont val="Aptos"/>
      </rPr>
      <t xml:space="preserve">
(Managing info sec in ICT supply chain), </t>
    </r>
    <r>
      <rPr>
        <b/>
        <sz val="12"/>
        <color theme="1"/>
        <rFont val="Aptos"/>
      </rPr>
      <t xml:space="preserve">A.5.22 </t>
    </r>
    <r>
      <rPr>
        <sz val="12"/>
        <color theme="1"/>
        <rFont val="Aptos"/>
      </rPr>
      <t xml:space="preserve">
(Monitoring supplier services)</t>
    </r>
  </si>
  <si>
    <r>
      <rPr>
        <b/>
        <sz val="12"/>
        <color theme="1"/>
        <rFont val="Aptos"/>
      </rPr>
      <t xml:space="preserve">A.8.24 </t>
    </r>
    <r>
      <rPr>
        <sz val="12"/>
        <color theme="1"/>
        <rFont val="Aptos"/>
      </rPr>
      <t xml:space="preserve">
(Use of cryptography), </t>
    </r>
    <r>
      <rPr>
        <b/>
        <sz val="12"/>
        <color theme="1"/>
        <rFont val="Aptos"/>
      </rPr>
      <t xml:space="preserve">A.8.11 </t>
    </r>
    <r>
      <rPr>
        <sz val="12"/>
        <color theme="1"/>
        <rFont val="Aptos"/>
      </rPr>
      <t xml:space="preserve">
(Data masking)</t>
    </r>
  </si>
  <si>
    <r>
      <rPr>
        <b/>
        <sz val="12"/>
        <color theme="1"/>
        <rFont val="Aptos"/>
      </rPr>
      <t xml:space="preserve">A.5.1 </t>
    </r>
    <r>
      <rPr>
        <sz val="12"/>
        <color theme="1"/>
        <rFont val="Aptos"/>
      </rPr>
      <t xml:space="preserve">
(Policies for info sec), </t>
    </r>
    <r>
      <rPr>
        <b/>
        <sz val="12"/>
        <color theme="1"/>
        <rFont val="Aptos"/>
      </rPr>
      <t xml:space="preserve">A.5.3 </t>
    </r>
    <r>
      <rPr>
        <sz val="12"/>
        <color theme="1"/>
        <rFont val="Aptos"/>
      </rPr>
      <t xml:space="preserve">
(Organizational roles)</t>
    </r>
  </si>
  <si>
    <r>
      <rPr>
        <b/>
        <sz val="12"/>
        <color theme="1"/>
        <rFont val="Aptos"/>
      </rPr>
      <t xml:space="preserve">A.5.12 </t>
    </r>
    <r>
      <rPr>
        <sz val="12"/>
        <color theme="1"/>
        <rFont val="Aptos"/>
      </rPr>
      <t xml:space="preserve">
(Classification of info), </t>
    </r>
    <r>
      <rPr>
        <b/>
        <sz val="12"/>
        <color theme="1"/>
        <rFont val="Aptos"/>
      </rPr>
      <t xml:space="preserve">A.8.12 </t>
    </r>
    <r>
      <rPr>
        <sz val="12"/>
        <color theme="1"/>
        <rFont val="Aptos"/>
      </rPr>
      <t xml:space="preserve">
(Data leakage prevention)</t>
    </r>
  </si>
  <si>
    <r>
      <rPr>
        <b/>
        <sz val="12"/>
        <color theme="1"/>
        <rFont val="Aptos"/>
      </rPr>
      <t xml:space="preserve">A.8.20 </t>
    </r>
    <r>
      <rPr>
        <sz val="12"/>
        <color theme="1"/>
        <rFont val="Aptos"/>
      </rPr>
      <t xml:space="preserve">
(Network security), </t>
    </r>
    <r>
      <rPr>
        <b/>
        <sz val="12"/>
        <color theme="1"/>
        <rFont val="Aptos"/>
      </rPr>
      <t xml:space="preserve">A.5.19 </t>
    </r>
    <r>
      <rPr>
        <sz val="12"/>
        <color theme="1"/>
        <rFont val="Aptos"/>
      </rPr>
      <t xml:space="preserve">
(Info sec in supplier relationships)</t>
    </r>
  </si>
  <si>
    <t>HR Manager / DevOps</t>
  </si>
  <si>
    <t>INFORMATION RISK REGISTER (MT-ISMS-RR-001)</t>
  </si>
  <si>
    <t>Risk Score</t>
  </si>
  <si>
    <t>1 to 4</t>
  </si>
  <si>
    <t>6 to 9</t>
  </si>
  <si>
    <t>12 to 18</t>
  </si>
  <si>
    <t>Risk Tier</t>
  </si>
  <si>
    <t>Low (Green)</t>
  </si>
  <si>
    <t>Moderate (Yellow)</t>
  </si>
  <si>
    <t>High (Orange)</t>
  </si>
  <si>
    <t>Critical ( Red)</t>
  </si>
  <si>
    <t>Business Context &amp; Acceptance Criteria</t>
  </si>
  <si>
    <t>Acceptable risk. Handled via standard operational procedures. Risk may be formally accepted by the Asset Owner without further executive escalation.</t>
  </si>
  <si>
    <t>Standard operational risk. Mitigate during normal operational cycles or accept with documented business justification from the Asset Owner.</t>
  </si>
  <si>
    <t>Significant exposure. Immediate mitigation project must be prioritized over feature development. Cannot be accepted without formal documented business justification.</t>
  </si>
  <si>
    <t>Unacceptable risk. Zero tolerance. Immediate cessation of the affected business process or system until mitigated or transferred. Cannot be accepted under any circumstances.</t>
  </si>
  <si>
    <t>Remediation SLA</t>
  </si>
  <si>
    <t>N/A</t>
  </si>
  <si>
    <t>90 Days</t>
  </si>
  <si>
    <t>14 Days</t>
  </si>
  <si>
    <t>24 Hours</t>
  </si>
  <si>
    <t>Executive Escalation</t>
  </si>
  <si>
    <t>None</t>
  </si>
  <si>
    <t>CEO / Board of Directors</t>
  </si>
  <si>
    <t>Information Security Management System</t>
  </si>
  <si>
    <t>Version 1.1 — BaFin BAIT references replaced with DORA (Reg. (EU) 2022/2554), applicable from 17 January 2025. No risk score, rating or treatment decision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</si>
</sst>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2"/>
      <color theme="1"/>
      <name val="Aptos Narrow"/>
      <family val="2"/>
      <scheme val="minor"/>
    </font>
    <font>
      <sz val="12"/>
      <color theme="1"/>
      <name val="Aptos"/>
    </font>
    <font>
      <b/>
      <sz val="12"/>
      <color theme="1"/>
      <name val="Aptos"/>
    </font>
    <font>
      <sz val="14"/>
      <color theme="1"/>
      <name val="Aptos"/>
    </font>
    <font>
      <b/>
      <sz val="20"/>
      <color rgb="FF002060"/>
      <name val="Sigma Sans Regular"/>
    </font>
    <font>
      <b/>
      <sz val="12"/>
      <color theme="0"/>
      <name val="Aptos"/>
    </font>
    <font>
      <b/>
      <sz val="12"/>
      <color theme="0"/>
      <name val="Aptos Narrow"/>
      <scheme val="minor"/>
    </font>
    <font>
      <b/>
      <sz val="14"/>
      <name val="Aptos"/>
    </font>
    <font>
      <sz val="8"/>
      <name val="Aptos Narrow"/>
      <family val="2"/>
      <scheme val="minor"/>
    </font>
    <font>
      <sz val="14"/>
      <color theme="0"/>
      <name val="Aptos Narrow"/>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002060"/>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xf numFmtId="0" fontId="3" fillId="0" borderId="0" xfId="0" applyFont="1"/>
    <xf numFmtId="0" fontId="2"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xf numFmtId="164" fontId="1" fillId="0" borderId="1" xfId="0" applyNumberFormat="1" applyFont="1" applyBorder="1" applyAlignment="1">
      <alignment horizontal="center"/>
    </xf>
    <xf numFmtId="15" fontId="1" fillId="0" borderId="1" xfId="0" applyNumberFormat="1" applyFont="1" applyBorder="1" applyAlignment="1">
      <alignment horizontal="center"/>
    </xf>
    <xf numFmtId="0" fontId="1" fillId="0" borderId="1" xfId="0" applyFont="1" applyBorder="1" applyAlignment="1">
      <alignment horizontal="center"/>
    </xf>
    <xf numFmtId="0" fontId="5" fillId="3" borderId="1" xfId="0" applyFont="1" applyFill="1" applyBorder="1" applyAlignment="1">
      <alignment horizontal="center" vertical="center" wrapText="1"/>
    </xf>
    <xf numFmtId="0" fontId="4" fillId="0" borderId="0" xfId="0" applyFont="1"/>
    <xf numFmtId="0" fontId="7" fillId="0" borderId="0" xfId="0" applyFont="1"/>
    <xf numFmtId="0" fontId="1" fillId="0" borderId="1" xfId="0" applyFont="1" applyBorder="1" applyAlignment="1">
      <alignment vertical="top" wrapText="1"/>
    </xf>
    <xf numFmtId="0" fontId="9" fillId="3" borderId="0" xfId="0" applyFont="1" applyFill="1" applyAlignment="1">
      <alignment vertical="top"/>
    </xf>
    <xf numFmtId="0" fontId="6" fillId="3" borderId="1" xfId="0" applyFont="1" applyFill="1" applyBorder="1" applyAlignment="1">
      <alignment horizontal="center" vertical="top" wrapText="1"/>
    </xf>
    <xf numFmtId="0" fontId="0" fillId="0" borderId="0" xfId="0" applyAlignment="1">
      <alignment horizontal="center" vertical="top" wrapText="1"/>
    </xf>
    <xf numFmtId="0" fontId="0" fillId="3" borderId="0" xfId="0" applyFill="1" applyAlignment="1">
      <alignment vertical="top" wrapText="1"/>
    </xf>
    <xf numFmtId="0" fontId="2" fillId="0" borderId="0" xfId="0" applyFont="1"/>
    <xf numFmtId="0" fontId="0" fillId="5" borderId="1" xfId="0" applyFill="1" applyBorder="1" applyAlignment="1">
      <alignment vertical="top" wrapText="1"/>
    </xf>
    <xf numFmtId="0" fontId="0" fillId="4"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cellXfs>
  <cellStyles count="1">
    <cellStyle name="Normal" xfId="0" builtinId="0"/>
  </cellStyles>
  <dxfs count="10">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1395B-1DEA-594F-BD02-5BD70A2D2174}">
  <sheetPr>
    <pageSetUpPr fitToPage="1"/>
  </sheetPr>
  <dimension ref="B3:P32"/>
  <sheetViews>
    <sheetView showGridLines="0" tabSelected="1" zoomScale="111" zoomScaleNormal="100" workbookViewId="0">
      <pane xSplit="1" ySplit="16" topLeftCell="B17" activePane="bottomRight" state="frozen"/>
      <selection pane="topRight" activeCell="B1" sqref="B1"/>
      <selection pane="bottomLeft" activeCell="A16" sqref="A16"/>
      <selection pane="bottomRight" activeCell="B4" sqref="B4"/>
    </sheetView>
  </sheetViews>
  <sheetFormatPr baseColWidth="10" defaultRowHeight="16"/>
  <cols>
    <col min="1" max="1" width="10.83203125" style="1"/>
    <col min="2" max="2" width="14.1640625" style="1" customWidth="1"/>
    <col min="3" max="3" width="42.6640625" style="1" bestFit="1" customWidth="1"/>
    <col min="4" max="4" width="42" style="1" customWidth="1"/>
    <col min="5" max="5" width="11.6640625" style="1" bestFit="1" customWidth="1"/>
    <col min="6" max="6" width="10.33203125" style="1" bestFit="1" customWidth="1"/>
    <col min="7" max="7" width="13.1640625" style="1" customWidth="1"/>
    <col min="8" max="8" width="14.6640625" style="1" bestFit="1" customWidth="1"/>
    <col min="9" max="9" width="12" style="4" bestFit="1" customWidth="1"/>
    <col min="10" max="10" width="20.83203125" style="4" customWidth="1"/>
    <col min="11" max="11" width="25.1640625" style="4" customWidth="1"/>
    <col min="12" max="12" width="15" style="1" bestFit="1" customWidth="1"/>
    <col min="13" max="13" width="12.6640625" style="1" bestFit="1" customWidth="1"/>
    <col min="14" max="15" width="10.83203125" style="1"/>
    <col min="16" max="16" width="12.6640625" style="1" customWidth="1"/>
    <col min="17" max="16384" width="10.83203125" style="1"/>
  </cols>
  <sheetData>
    <row r="3" spans="2:16" ht="26">
      <c r="B3" s="13" t="s">
        <v>0</v>
      </c>
      <c r="C3" s="13"/>
    </row>
    <row r="4" spans="2:16" ht="19">
      <c r="B4" s="14" t="s">
        <v>141</v>
      </c>
      <c r="C4" s="14"/>
    </row>
    <row r="5" spans="2:16" ht="19">
      <c r="B5" s="2" t="s">
        <v>118</v>
      </c>
      <c r="C5" s="2"/>
    </row>
    <row r="7" spans="2:16">
      <c r="B7" s="8" t="s">
        <v>1</v>
      </c>
      <c r="C7" s="9">
        <v>1.1</v>
      </c>
      <c r="H7" s="4"/>
      <c r="K7" s="1"/>
    </row>
    <row r="8" spans="2:16">
      <c r="B8" s="8" t="s">
        <v>2</v>
      </c>
      <c r="C8" s="10" t="s">
        <v>3</v>
      </c>
      <c r="H8" s="4"/>
      <c r="K8" s="1"/>
    </row>
    <row r="9" spans="2:16">
      <c r="B9" s="8" t="s">
        <v>22</v>
      </c>
      <c r="C9" s="11" t="s">
        <v>4</v>
      </c>
      <c r="H9" s="4"/>
      <c r="K9" s="1"/>
    </row>
    <row r="10" spans="2:16">
      <c r="B10" s="8" t="s">
        <v>23</v>
      </c>
      <c r="C10" s="11" t="s">
        <v>38</v>
      </c>
      <c r="H10" s="4"/>
      <c r="K10" s="1"/>
    </row>
    <row r="11" spans="2:16">
      <c r="B11" s="8" t="s">
        <v>24</v>
      </c>
      <c r="C11" s="11" t="s">
        <v>25</v>
      </c>
      <c r="H11" s="4"/>
      <c r="K11" s="1"/>
    </row>
    <row r="12" spans="2:16">
      <c r="B12" s="8" t="s">
        <v>5</v>
      </c>
      <c r="C12" s="11" t="s">
        <v>6</v>
      </c>
      <c r="H12" s="4"/>
      <c r="K12" s="1"/>
    </row>
    <row r="14" spans="2:16">
      <c r="B14" s="20" t="s">
        <v>73</v>
      </c>
    </row>
    <row r="16" spans="2:16" s="3" customFormat="1" ht="51">
      <c r="B16" s="12" t="s">
        <v>39</v>
      </c>
      <c r="C16" s="12" t="s">
        <v>7</v>
      </c>
      <c r="D16" s="12" t="s">
        <v>55</v>
      </c>
      <c r="E16" s="12" t="s">
        <v>74</v>
      </c>
      <c r="F16" s="12" t="s">
        <v>75</v>
      </c>
      <c r="G16" s="12" t="s">
        <v>76</v>
      </c>
      <c r="H16" s="12" t="s">
        <v>77</v>
      </c>
      <c r="I16" s="12" t="s">
        <v>82</v>
      </c>
      <c r="J16" s="12" t="s">
        <v>84</v>
      </c>
      <c r="K16" s="12" t="s">
        <v>85</v>
      </c>
      <c r="L16" s="12" t="s">
        <v>78</v>
      </c>
      <c r="M16" s="12" t="s">
        <v>79</v>
      </c>
      <c r="N16" s="12" t="s">
        <v>80</v>
      </c>
      <c r="O16" s="12" t="s">
        <v>81</v>
      </c>
      <c r="P16" s="12" t="s">
        <v>86</v>
      </c>
    </row>
    <row r="17" spans="2:16" s="5" customFormat="1" ht="221">
      <c r="B17" s="15" t="s">
        <v>40</v>
      </c>
      <c r="C17" s="15" t="s">
        <v>9</v>
      </c>
      <c r="D17" s="15" t="s">
        <v>57</v>
      </c>
      <c r="E17" s="15">
        <v>3</v>
      </c>
      <c r="F17" s="15">
        <v>2</v>
      </c>
      <c r="G17" s="15">
        <v>2</v>
      </c>
      <c r="H17" s="15">
        <f>PRODUCT(E17,F17,G17)</f>
        <v>12</v>
      </c>
      <c r="I17" s="15" t="s">
        <v>70</v>
      </c>
      <c r="J17" s="15" t="s">
        <v>103</v>
      </c>
      <c r="K17" s="15" t="s">
        <v>88</v>
      </c>
      <c r="L17" s="15">
        <v>3</v>
      </c>
      <c r="M17" s="15" t="s">
        <v>83</v>
      </c>
      <c r="N17" s="15" t="s">
        <v>83</v>
      </c>
      <c r="O17" s="15">
        <f t="shared" ref="O17:O31" si="0">PRODUCT(L17,M17,N17)</f>
        <v>3</v>
      </c>
      <c r="P17" s="15" t="s">
        <v>10</v>
      </c>
    </row>
    <row r="18" spans="2:16" s="5" customFormat="1" ht="204">
      <c r="B18" s="15" t="s">
        <v>41</v>
      </c>
      <c r="C18" s="15" t="s">
        <v>11</v>
      </c>
      <c r="D18" s="15" t="s">
        <v>58</v>
      </c>
      <c r="E18" s="15">
        <v>3</v>
      </c>
      <c r="F18" s="15" t="s">
        <v>83</v>
      </c>
      <c r="G18" s="15">
        <v>3</v>
      </c>
      <c r="H18" s="15">
        <f t="shared" ref="H18:H31" si="1">PRODUCT(E18,F18,G18)</f>
        <v>9</v>
      </c>
      <c r="I18" s="15" t="s">
        <v>70</v>
      </c>
      <c r="J18" s="15" t="s">
        <v>102</v>
      </c>
      <c r="K18" s="15" t="s">
        <v>89</v>
      </c>
      <c r="L18" s="15">
        <v>3</v>
      </c>
      <c r="M18" s="15" t="s">
        <v>83</v>
      </c>
      <c r="N18" s="15" t="s">
        <v>83</v>
      </c>
      <c r="O18" s="15">
        <f t="shared" si="0"/>
        <v>3</v>
      </c>
      <c r="P18" s="15" t="s">
        <v>18</v>
      </c>
    </row>
    <row r="19" spans="2:16" s="5" customFormat="1" ht="221">
      <c r="B19" s="15" t="s">
        <v>42</v>
      </c>
      <c r="C19" s="15" t="s">
        <v>12</v>
      </c>
      <c r="D19" s="15" t="s">
        <v>59</v>
      </c>
      <c r="E19" s="15">
        <v>3</v>
      </c>
      <c r="F19" s="15">
        <v>3</v>
      </c>
      <c r="G19" s="15">
        <v>2</v>
      </c>
      <c r="H19" s="15">
        <f t="shared" si="1"/>
        <v>18</v>
      </c>
      <c r="I19" s="15" t="s">
        <v>70</v>
      </c>
      <c r="J19" s="15" t="s">
        <v>104</v>
      </c>
      <c r="K19" s="15" t="s">
        <v>90</v>
      </c>
      <c r="L19" s="15">
        <v>3</v>
      </c>
      <c r="M19" s="15" t="s">
        <v>83</v>
      </c>
      <c r="N19" s="15" t="s">
        <v>83</v>
      </c>
      <c r="O19" s="15">
        <f t="shared" si="0"/>
        <v>3</v>
      </c>
      <c r="P19" s="15" t="s">
        <v>18</v>
      </c>
    </row>
    <row r="20" spans="2:16" s="5" customFormat="1" ht="221">
      <c r="B20" s="15" t="s">
        <v>43</v>
      </c>
      <c r="C20" s="15" t="s">
        <v>13</v>
      </c>
      <c r="D20" s="15" t="s">
        <v>56</v>
      </c>
      <c r="E20" s="15">
        <v>3</v>
      </c>
      <c r="F20" s="15">
        <v>2</v>
      </c>
      <c r="G20" s="15">
        <v>3</v>
      </c>
      <c r="H20" s="15">
        <f t="shared" si="1"/>
        <v>18</v>
      </c>
      <c r="I20" s="15" t="s">
        <v>70</v>
      </c>
      <c r="J20" s="15" t="s">
        <v>105</v>
      </c>
      <c r="K20" s="15" t="s">
        <v>91</v>
      </c>
      <c r="L20" s="15">
        <v>3</v>
      </c>
      <c r="M20" s="15" t="s">
        <v>83</v>
      </c>
      <c r="N20" s="15" t="s">
        <v>83</v>
      </c>
      <c r="O20" s="15">
        <f t="shared" si="0"/>
        <v>3</v>
      </c>
      <c r="P20" s="15" t="s">
        <v>18</v>
      </c>
    </row>
    <row r="21" spans="2:16" s="5" customFormat="1" ht="204">
      <c r="B21" s="15" t="s">
        <v>44</v>
      </c>
      <c r="C21" s="15" t="s">
        <v>14</v>
      </c>
      <c r="D21" s="15" t="s">
        <v>60</v>
      </c>
      <c r="E21" s="15">
        <v>3</v>
      </c>
      <c r="F21" s="15">
        <v>3</v>
      </c>
      <c r="G21" s="15">
        <v>2</v>
      </c>
      <c r="H21" s="15">
        <f t="shared" si="1"/>
        <v>18</v>
      </c>
      <c r="I21" s="15" t="s">
        <v>70</v>
      </c>
      <c r="J21" s="15" t="s">
        <v>106</v>
      </c>
      <c r="K21" s="15" t="s">
        <v>92</v>
      </c>
      <c r="L21" s="15">
        <v>3</v>
      </c>
      <c r="M21" s="15" t="s">
        <v>83</v>
      </c>
      <c r="N21" s="15" t="s">
        <v>83</v>
      </c>
      <c r="O21" s="15">
        <f t="shared" si="0"/>
        <v>3</v>
      </c>
      <c r="P21" s="15" t="s">
        <v>20</v>
      </c>
    </row>
    <row r="22" spans="2:16" s="5" customFormat="1" ht="170">
      <c r="B22" s="15" t="s">
        <v>45</v>
      </c>
      <c r="C22" s="15" t="s">
        <v>15</v>
      </c>
      <c r="D22" s="15" t="s">
        <v>61</v>
      </c>
      <c r="E22" s="15">
        <v>2</v>
      </c>
      <c r="F22" s="15">
        <v>2</v>
      </c>
      <c r="G22" s="15">
        <v>2</v>
      </c>
      <c r="H22" s="15">
        <f t="shared" si="1"/>
        <v>8</v>
      </c>
      <c r="I22" s="15" t="s">
        <v>70</v>
      </c>
      <c r="J22" s="15" t="s">
        <v>107</v>
      </c>
      <c r="K22" s="15" t="s">
        <v>93</v>
      </c>
      <c r="L22" s="15">
        <v>2</v>
      </c>
      <c r="M22" s="15" t="s">
        <v>83</v>
      </c>
      <c r="N22" s="15" t="s">
        <v>83</v>
      </c>
      <c r="O22" s="15">
        <f t="shared" si="0"/>
        <v>2</v>
      </c>
      <c r="P22" s="15" t="s">
        <v>21</v>
      </c>
    </row>
    <row r="23" spans="2:16" s="5" customFormat="1" ht="204">
      <c r="B23" s="15" t="s">
        <v>46</v>
      </c>
      <c r="C23" s="15" t="s">
        <v>16</v>
      </c>
      <c r="D23" s="15" t="s">
        <v>62</v>
      </c>
      <c r="E23" s="15">
        <v>3</v>
      </c>
      <c r="F23" s="15">
        <v>2</v>
      </c>
      <c r="G23" s="15">
        <v>2</v>
      </c>
      <c r="H23" s="15">
        <f t="shared" si="1"/>
        <v>12</v>
      </c>
      <c r="I23" s="15" t="s">
        <v>70</v>
      </c>
      <c r="J23" s="15" t="s">
        <v>108</v>
      </c>
      <c r="K23" s="15" t="s">
        <v>94</v>
      </c>
      <c r="L23" s="15">
        <v>3</v>
      </c>
      <c r="M23" s="15" t="s">
        <v>83</v>
      </c>
      <c r="N23" s="15" t="s">
        <v>83</v>
      </c>
      <c r="O23" s="15">
        <f t="shared" si="0"/>
        <v>3</v>
      </c>
      <c r="P23" s="15" t="s">
        <v>117</v>
      </c>
    </row>
    <row r="24" spans="2:16" s="5" customFormat="1" ht="204">
      <c r="B24" s="15" t="s">
        <v>47</v>
      </c>
      <c r="C24" s="15" t="s">
        <v>17</v>
      </c>
      <c r="D24" s="15" t="s">
        <v>63</v>
      </c>
      <c r="E24" s="15">
        <v>2</v>
      </c>
      <c r="F24" s="15">
        <v>3</v>
      </c>
      <c r="G24" s="15">
        <v>2</v>
      </c>
      <c r="H24" s="15">
        <f t="shared" si="1"/>
        <v>12</v>
      </c>
      <c r="I24" s="15" t="s">
        <v>70</v>
      </c>
      <c r="J24" s="15" t="s">
        <v>109</v>
      </c>
      <c r="K24" s="15" t="s">
        <v>95</v>
      </c>
      <c r="L24" s="15">
        <v>2</v>
      </c>
      <c r="M24" s="15" t="s">
        <v>83</v>
      </c>
      <c r="N24" s="15" t="s">
        <v>83</v>
      </c>
      <c r="O24" s="15">
        <f t="shared" si="0"/>
        <v>2</v>
      </c>
      <c r="P24" s="15" t="s">
        <v>20</v>
      </c>
    </row>
    <row r="25" spans="2:16" ht="221">
      <c r="B25" s="15" t="s">
        <v>48</v>
      </c>
      <c r="C25" s="15" t="s">
        <v>27</v>
      </c>
      <c r="D25" s="15" t="s">
        <v>64</v>
      </c>
      <c r="E25" s="15">
        <v>2</v>
      </c>
      <c r="F25" s="15" t="s">
        <v>83</v>
      </c>
      <c r="G25" s="15">
        <v>2</v>
      </c>
      <c r="H25" s="15">
        <f t="shared" si="1"/>
        <v>4</v>
      </c>
      <c r="I25" s="15" t="s">
        <v>87</v>
      </c>
      <c r="J25" s="15" t="s">
        <v>110</v>
      </c>
      <c r="K25" s="15" t="s">
        <v>96</v>
      </c>
      <c r="L25" s="15">
        <v>2</v>
      </c>
      <c r="M25" s="15" t="s">
        <v>83</v>
      </c>
      <c r="N25" s="15" t="s">
        <v>83</v>
      </c>
      <c r="O25" s="15">
        <f t="shared" si="0"/>
        <v>2</v>
      </c>
      <c r="P25" s="15" t="s">
        <v>34</v>
      </c>
    </row>
    <row r="26" spans="2:16" ht="170">
      <c r="B26" s="15" t="s">
        <v>49</v>
      </c>
      <c r="C26" s="15" t="s">
        <v>28</v>
      </c>
      <c r="D26" s="15" t="s">
        <v>65</v>
      </c>
      <c r="E26" s="15">
        <v>2</v>
      </c>
      <c r="F26" s="15">
        <v>2</v>
      </c>
      <c r="G26" s="15">
        <v>2</v>
      </c>
      <c r="H26" s="15">
        <f t="shared" si="1"/>
        <v>8</v>
      </c>
      <c r="I26" s="15" t="s">
        <v>70</v>
      </c>
      <c r="J26" s="15" t="s">
        <v>111</v>
      </c>
      <c r="K26" s="15" t="s">
        <v>97</v>
      </c>
      <c r="L26" s="15">
        <v>2</v>
      </c>
      <c r="M26" s="15" t="s">
        <v>83</v>
      </c>
      <c r="N26" s="15" t="s">
        <v>83</v>
      </c>
      <c r="O26" s="15">
        <f t="shared" si="0"/>
        <v>2</v>
      </c>
      <c r="P26" s="15" t="s">
        <v>36</v>
      </c>
    </row>
    <row r="27" spans="2:16" ht="187">
      <c r="B27" s="15" t="s">
        <v>50</v>
      </c>
      <c r="C27" s="15" t="s">
        <v>29</v>
      </c>
      <c r="D27" s="15" t="s">
        <v>66</v>
      </c>
      <c r="E27" s="15">
        <v>2</v>
      </c>
      <c r="F27" s="15">
        <v>2</v>
      </c>
      <c r="G27" s="15">
        <v>2</v>
      </c>
      <c r="H27" s="15">
        <f t="shared" si="1"/>
        <v>8</v>
      </c>
      <c r="I27" s="15" t="s">
        <v>70</v>
      </c>
      <c r="J27" s="15" t="s">
        <v>112</v>
      </c>
      <c r="K27" s="15" t="s">
        <v>98</v>
      </c>
      <c r="L27" s="15">
        <v>2</v>
      </c>
      <c r="M27" s="15" t="s">
        <v>83</v>
      </c>
      <c r="N27" s="15">
        <v>2</v>
      </c>
      <c r="O27" s="15">
        <f t="shared" si="0"/>
        <v>4</v>
      </c>
      <c r="P27" s="15" t="s">
        <v>35</v>
      </c>
    </row>
    <row r="28" spans="2:16" ht="204">
      <c r="B28" s="15" t="s">
        <v>51</v>
      </c>
      <c r="C28" s="15" t="s">
        <v>30</v>
      </c>
      <c r="D28" s="15" t="s">
        <v>67</v>
      </c>
      <c r="E28" s="15">
        <v>3</v>
      </c>
      <c r="F28" s="15" t="s">
        <v>83</v>
      </c>
      <c r="G28" s="15">
        <v>3</v>
      </c>
      <c r="H28" s="15">
        <f t="shared" si="1"/>
        <v>9</v>
      </c>
      <c r="I28" s="15" t="s">
        <v>70</v>
      </c>
      <c r="J28" s="15" t="s">
        <v>113</v>
      </c>
      <c r="K28" s="15" t="s">
        <v>99</v>
      </c>
      <c r="L28" s="15">
        <v>3</v>
      </c>
      <c r="M28" s="15" t="s">
        <v>83</v>
      </c>
      <c r="N28" s="15" t="s">
        <v>83</v>
      </c>
      <c r="O28" s="15">
        <f t="shared" si="0"/>
        <v>3</v>
      </c>
      <c r="P28" s="15" t="s">
        <v>19</v>
      </c>
    </row>
    <row r="29" spans="2:16" ht="187">
      <c r="B29" s="15" t="s">
        <v>52</v>
      </c>
      <c r="C29" s="15" t="s">
        <v>31</v>
      </c>
      <c r="D29" s="15" t="s">
        <v>68</v>
      </c>
      <c r="E29" s="15">
        <v>3</v>
      </c>
      <c r="F29" s="15">
        <v>2</v>
      </c>
      <c r="G29" s="15">
        <v>2</v>
      </c>
      <c r="H29" s="15">
        <f t="shared" si="1"/>
        <v>12</v>
      </c>
      <c r="I29" s="15" t="s">
        <v>87</v>
      </c>
      <c r="J29" s="15" t="s">
        <v>114</v>
      </c>
      <c r="K29" s="15" t="s">
        <v>100</v>
      </c>
      <c r="L29" s="15">
        <v>3</v>
      </c>
      <c r="M29" s="15">
        <v>2</v>
      </c>
      <c r="N29" s="15" t="s">
        <v>83</v>
      </c>
      <c r="O29" s="15">
        <f t="shared" si="0"/>
        <v>6</v>
      </c>
      <c r="P29" s="15" t="s">
        <v>37</v>
      </c>
    </row>
    <row r="30" spans="2:16" ht="204">
      <c r="B30" s="15" t="s">
        <v>53</v>
      </c>
      <c r="C30" s="15" t="s">
        <v>32</v>
      </c>
      <c r="D30" s="15" t="s">
        <v>69</v>
      </c>
      <c r="E30" s="15">
        <v>3</v>
      </c>
      <c r="F30" s="15">
        <v>2</v>
      </c>
      <c r="G30" s="15">
        <v>2</v>
      </c>
      <c r="H30" s="15">
        <f t="shared" si="1"/>
        <v>12</v>
      </c>
      <c r="I30" s="15" t="s">
        <v>70</v>
      </c>
      <c r="J30" s="15" t="s">
        <v>115</v>
      </c>
      <c r="K30" s="15" t="s">
        <v>101</v>
      </c>
      <c r="L30" s="15">
        <v>3</v>
      </c>
      <c r="M30" s="15" t="s">
        <v>83</v>
      </c>
      <c r="N30" s="15" t="s">
        <v>83</v>
      </c>
      <c r="O30" s="15">
        <f t="shared" si="0"/>
        <v>3</v>
      </c>
      <c r="P30" s="15" t="s">
        <v>18</v>
      </c>
    </row>
    <row r="31" spans="2:16" ht="221">
      <c r="B31" s="15" t="s">
        <v>54</v>
      </c>
      <c r="C31" s="15" t="s">
        <v>33</v>
      </c>
      <c r="D31" s="15" t="s">
        <v>72</v>
      </c>
      <c r="E31" s="15">
        <v>2</v>
      </c>
      <c r="F31" s="15">
        <v>2</v>
      </c>
      <c r="G31" s="15">
        <v>2</v>
      </c>
      <c r="H31" s="15">
        <f t="shared" si="1"/>
        <v>8</v>
      </c>
      <c r="I31" s="15" t="s">
        <v>70</v>
      </c>
      <c r="J31" s="15" t="s">
        <v>116</v>
      </c>
      <c r="K31" s="15" t="s">
        <v>71</v>
      </c>
      <c r="L31" s="15">
        <v>2</v>
      </c>
      <c r="M31" s="15" t="s">
        <v>83</v>
      </c>
      <c r="N31" s="15">
        <v>2</v>
      </c>
      <c r="O31" s="15">
        <f t="shared" si="0"/>
        <v>4</v>
      </c>
      <c r="P31" s="15" t="s">
        <v>20</v>
      </c>
    </row>
    <row r="32">
      <c r="B32" s="20" t="s">
        <v>142</v>
      </c>
    </row>
  </sheetData>
  <phoneticPr fontId="8" type="noConversion"/>
  <conditionalFormatting sqref="E17:G31">
    <cfRule type="containsText" dxfId="9" priority="8" operator="containsText" text="1">
      <formula>NOT(ISERROR(SEARCH("1",E17)))</formula>
    </cfRule>
    <cfRule type="containsText" dxfId="8" priority="9" operator="containsText" text="2">
      <formula>NOT(ISERROR(SEARCH("2",E17)))</formula>
    </cfRule>
    <cfRule type="containsText" dxfId="7" priority="10" operator="containsText" text="3">
      <formula>NOT(ISERROR(SEARCH("3",E17)))</formula>
    </cfRule>
  </conditionalFormatting>
  <conditionalFormatting sqref="H17:H31 O17:O31">
    <cfRule type="cellIs" dxfId="6" priority="4" operator="equal">
      <formula>27</formula>
    </cfRule>
    <cfRule type="cellIs" dxfId="5" priority="5" operator="between">
      <formula>12</formula>
      <formula>18</formula>
    </cfRule>
    <cfRule type="cellIs" dxfId="4" priority="6" operator="between">
      <formula>6</formula>
      <formula>9</formula>
    </cfRule>
    <cfRule type="cellIs" dxfId="3" priority="7" stopIfTrue="1" operator="between">
      <formula>1</formula>
      <formula>4</formula>
    </cfRule>
  </conditionalFormatting>
  <conditionalFormatting sqref="L17:N31">
    <cfRule type="containsText" dxfId="2" priority="1" operator="containsText" text="1">
      <formula>NOT(ISERROR(SEARCH("1",L17)))</formula>
    </cfRule>
    <cfRule type="containsText" dxfId="1" priority="2" operator="containsText" text="2">
      <formula>NOT(ISERROR(SEARCH("2",L17)))</formula>
    </cfRule>
    <cfRule type="containsText" dxfId="0" priority="3" operator="containsText" text="3">
      <formula>NOT(ISERROR(SEARCH("3",L17)))</formula>
    </cfRule>
  </conditionalFormatting>
  <dataValidations count="2">
    <dataValidation type="list" allowBlank="1" showInputMessage="1" showErrorMessage="1" sqref="L17:N31 E17:G31" xr:uid="{17826462-224B-1445-9BAD-A900D0188424}">
      <formula1>"⁠1, 2, 3"</formula1>
    </dataValidation>
    <dataValidation type="list" allowBlank="1" showInputMessage="1" showErrorMessage="1" sqref="I17:I31" xr:uid="{E9BC835A-5986-054D-9E99-003504C6C961}">
      <formula1>"Mitigate, Accept, Transfer, Avoid"</formula1>
    </dataValidation>
  </dataValidations>
  <pageMargins left="0.7" right="0.7" top="0.75" bottom="0.75" header="0.3" footer="0.3"/>
  <pageSetup paperSize="9" scale="50"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BC89-795E-C148-8E67-7578F16863DD}">
  <dimension ref="B2:F8"/>
  <sheetViews>
    <sheetView showGridLines="0" zoomScaleNormal="100" workbookViewId="0">
      <selection activeCell="G8" sqref="G8"/>
    </sheetView>
  </sheetViews>
  <sheetFormatPr baseColWidth="10" defaultRowHeight="16"/>
  <cols>
    <col min="1" max="1" width="10.83203125" style="6"/>
    <col min="2" max="2" width="16.33203125" style="6" customWidth="1"/>
    <col min="3" max="3" width="24.5" style="6" customWidth="1"/>
    <col min="4" max="4" width="20.6640625" style="6" customWidth="1"/>
    <col min="5" max="5" width="20" style="6" customWidth="1"/>
    <col min="6" max="6" width="19.6640625" style="6" customWidth="1"/>
    <col min="7" max="16384" width="10.83203125" style="6"/>
  </cols>
  <sheetData>
    <row r="2" spans="2:6" ht="19">
      <c r="B2" s="16" t="s">
        <v>26</v>
      </c>
      <c r="C2" s="19"/>
    </row>
    <row r="4" spans="2:6" s="18" customFormat="1" ht="34">
      <c r="B4" s="17" t="s">
        <v>119</v>
      </c>
      <c r="C4" s="17" t="s">
        <v>123</v>
      </c>
      <c r="D4" s="17" t="s">
        <v>128</v>
      </c>
      <c r="E4" s="17" t="s">
        <v>133</v>
      </c>
      <c r="F4" s="17" t="s">
        <v>138</v>
      </c>
    </row>
    <row r="5" spans="2:6" ht="119">
      <c r="B5" s="7" t="s">
        <v>120</v>
      </c>
      <c r="C5" s="21" t="s">
        <v>124</v>
      </c>
      <c r="D5" s="7" t="s">
        <v>129</v>
      </c>
      <c r="E5" s="7" t="s">
        <v>134</v>
      </c>
      <c r="F5" s="7" t="s">
        <v>139</v>
      </c>
    </row>
    <row r="6" spans="2:6" ht="119">
      <c r="B6" s="7" t="s">
        <v>121</v>
      </c>
      <c r="C6" s="22" t="s">
        <v>125</v>
      </c>
      <c r="D6" s="7" t="s">
        <v>130</v>
      </c>
      <c r="E6" s="7" t="s">
        <v>135</v>
      </c>
      <c r="F6" s="7" t="s">
        <v>8</v>
      </c>
    </row>
    <row r="7" spans="2:6" ht="136">
      <c r="B7" s="7" t="s">
        <v>122</v>
      </c>
      <c r="C7" s="23" t="s">
        <v>126</v>
      </c>
      <c r="D7" s="7" t="s">
        <v>131</v>
      </c>
      <c r="E7" s="7" t="s">
        <v>136</v>
      </c>
      <c r="F7" s="7" t="s">
        <v>25</v>
      </c>
    </row>
    <row r="8" spans="2:6" ht="153">
      <c r="B8" s="7">
        <v>27</v>
      </c>
      <c r="C8" s="24" t="s">
        <v>127</v>
      </c>
      <c r="D8" s="7" t="s">
        <v>132</v>
      </c>
      <c r="E8" s="7" t="s">
        <v>137</v>
      </c>
      <c r="F8" s="7" t="s">
        <v>140</v>
      </c>
    </row>
  </sheetData>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Reference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B.</dc:creator>
  <cp:lastModifiedBy>Austin B.</cp:lastModifiedBy>
  <cp:lastPrinted>2026-04-14T12:46:47Z</cp:lastPrinted>
  <dcterms:created xsi:type="dcterms:W3CDTF">2026-04-14T10:09:14Z</dcterms:created>
  <dcterms:modified xsi:type="dcterms:W3CDTF">2026-04-16T13:07:47Z</dcterms:modified>
</cp:coreProperties>
</file>